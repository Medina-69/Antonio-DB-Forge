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din\OneDrive\Documentos\Curriculum\Proyecto ERP\"/>
    </mc:Choice>
  </mc:AlternateContent>
  <xr:revisionPtr revIDLastSave="0" documentId="13_ncr:1_{303F69FD-1A41-4148-8193-C5C88397C07A}" xr6:coauthVersionLast="47" xr6:coauthVersionMax="47" xr10:uidLastSave="{00000000-0000-0000-0000-000000000000}"/>
  <bookViews>
    <workbookView xWindow="-120" yWindow="-120" windowWidth="29040" windowHeight="15720" tabRatio="750" firstSheet="1" activeTab="1" xr2:uid="{03F8D201-4A18-40F8-B9CC-16298034F158}"/>
  </bookViews>
  <sheets>
    <sheet name="Varios" sheetId="8" state="veryHidden" r:id="rId1"/>
    <sheet name="Inicio" sheetId="17" r:id="rId2"/>
    <sheet name="Temporales" sheetId="16" state="veryHidden" r:id="rId3"/>
    <sheet name="Usuarios" sheetId="4" state="veryHidden" r:id="rId4"/>
    <sheet name="D_Compras" sheetId="15" state="veryHidden" r:id="rId5"/>
    <sheet name="D_Almacen" sheetId="22" state="veryHidden" r:id="rId6"/>
    <sheet name="D_Ventas" sheetId="18" state="veryHidden" r:id="rId7"/>
  </sheets>
  <definedNames>
    <definedName name="DatosExternos_1" localSheetId="2" hidden="1">Temporales!$E$2:$E$4</definedName>
    <definedName name="DatosExternos_2" localSheetId="2" hidden="1">Temporales!$G$2:$G$3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6" l="1"/>
  <c r="C3" i="15"/>
  <c r="C2" i="15"/>
  <c r="C3" i="18"/>
  <c r="C2" i="16"/>
  <c r="C2" i="18"/>
  <c r="C6" i="18" l="1"/>
  <c r="C4" i="18"/>
  <c r="C5" i="18"/>
  <c r="C6" i="15"/>
  <c r="C5" i="15"/>
  <c r="C4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4B0170-77A1-4475-9456-6FF6E611138E}" keepAlive="1" name="Consulta - Total Ordenes de Compra" description="Conexión a la consulta 'Total Ordenes de Compra' en el libro." type="5" refreshedVersion="8" background="1" saveData="1">
    <dbPr connection="Provider=Microsoft.Mashup.OleDb.1;Data Source=$Workbook$;Location=&quot;Total Ordenes de Compra&quot;;Extended Properties=&quot;&quot;" command="SELECT * FROM [Total Ordenes de Compra]"/>
  </connection>
  <connection id="2" xr16:uid="{1855D5AE-E02E-4F71-9BBA-A6F50CF19587}" keepAlive="1" name="Consulta - Total Ordenes de Venta" description="Conexión a la consulta 'Total Ordenes de Venta' en el libro." type="5" refreshedVersion="8" background="1" saveData="1">
    <dbPr connection="Provider=Microsoft.Mashup.OleDb.1;Data Source=$Workbook$;Location=&quot;Total Ordenes de Venta&quot;;Extended Properties=&quot;&quot;" command="SELECT * FROM [Total Ordenes de Venta]"/>
  </connection>
  <connection id="3" xr16:uid="{4132431E-A5B4-47E1-A7C0-612FCF863065}" keepAlive="1" name="Consulta - Usuario autenticado" description="Conexión a la consulta 'Usuario autenticado' en el libro." type="5" refreshedVersion="0" background="1">
    <dbPr connection="Provider=Microsoft.Mashup.OleDb.1;Data Source=$Workbook$;Location=&quot;Usuario autenticado&quot;;Extended Properties=&quot;&quot;" command="SELECT * FROM [Usuario autenticado]"/>
  </connection>
</connections>
</file>

<file path=xl/sharedStrings.xml><?xml version="1.0" encoding="utf-8"?>
<sst xmlns="http://schemas.openxmlformats.org/spreadsheetml/2006/main" count="64" uniqueCount="46">
  <si>
    <t>Id</t>
  </si>
  <si>
    <t>Nombre</t>
  </si>
  <si>
    <t>Descripción</t>
  </si>
  <si>
    <t>Unidad</t>
  </si>
  <si>
    <t>pz</t>
  </si>
  <si>
    <t>Pieza</t>
  </si>
  <si>
    <t>bx</t>
  </si>
  <si>
    <t>Caja</t>
  </si>
  <si>
    <t>pk</t>
  </si>
  <si>
    <t>Paquete</t>
  </si>
  <si>
    <t>Fecha</t>
  </si>
  <si>
    <t>Status</t>
  </si>
  <si>
    <t>Aceptado</t>
  </si>
  <si>
    <t>Cancelado</t>
  </si>
  <si>
    <t>Stand-by</t>
  </si>
  <si>
    <t>Pagado</t>
  </si>
  <si>
    <t>Apellido_Paterno</t>
  </si>
  <si>
    <t>Apellido_Materno</t>
  </si>
  <si>
    <t>Nombre(s)</t>
  </si>
  <si>
    <t>Fecha_Ingreso</t>
  </si>
  <si>
    <t>Usuario</t>
  </si>
  <si>
    <t>Contraseña</t>
  </si>
  <si>
    <t>Antonio</t>
  </si>
  <si>
    <t>Numero de cotizaciones compra</t>
  </si>
  <si>
    <t>Numero de cotizaciones venta</t>
  </si>
  <si>
    <t>Medina</t>
  </si>
  <si>
    <t>Rosas</t>
  </si>
  <si>
    <t>Rol</t>
  </si>
  <si>
    <t>MEDINA01</t>
  </si>
  <si>
    <t>Admin</t>
  </si>
  <si>
    <t>Vendedor</t>
  </si>
  <si>
    <t>Comprador</t>
  </si>
  <si>
    <t>MEDINA02</t>
  </si>
  <si>
    <t>MEDINA03</t>
  </si>
  <si>
    <t>Apellido Paterno</t>
  </si>
  <si>
    <t>Apellido Materno</t>
  </si>
  <si>
    <t>No_Orden</t>
  </si>
  <si>
    <t xml:space="preserve">COT-001        </t>
  </si>
  <si>
    <t xml:space="preserve">COT-002        </t>
  </si>
  <si>
    <t xml:space="preserve">ABC-001        </t>
  </si>
  <si>
    <t>Almacen</t>
  </si>
  <si>
    <t>A123</t>
  </si>
  <si>
    <t>B123</t>
  </si>
  <si>
    <t>C123</t>
  </si>
  <si>
    <t>D123</t>
  </si>
  <si>
    <t>MEDINA04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</si>
</sst>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\,\ dd\ &quot;de&quot;\ mmmm\ &quot;de&quot;\ yyyy&quot;;&quot;\ h:mm:ss\ AM/PM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243C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2</xdr:row>
      <xdr:rowOff>85725</xdr:rowOff>
    </xdr:from>
    <xdr:to>
      <xdr:col>7</xdr:col>
      <xdr:colOff>38850</xdr:colOff>
      <xdr:row>4</xdr:row>
      <xdr:rowOff>118725</xdr:rowOff>
    </xdr:to>
    <xdr:sp macro="[0]!MostrarFormularioUs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3B93D58-B6CB-9509-EA79-83A16D194DC4}"/>
            </a:ext>
          </a:extLst>
        </xdr:cNvPr>
        <xdr:cNvSpPr/>
      </xdr:nvSpPr>
      <xdr:spPr>
        <a:xfrm>
          <a:off x="3752850" y="46672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Login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9525</xdr:rowOff>
    </xdr:from>
    <xdr:to>
      <xdr:col>15</xdr:col>
      <xdr:colOff>96000</xdr:colOff>
      <xdr:row>3</xdr:row>
      <xdr:rowOff>42525</xdr:rowOff>
    </xdr:to>
    <xdr:sp macro="[0]!MostrarFormularioCotiz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EAFD1E-312E-415A-860B-FE4C9221A3D0}"/>
            </a:ext>
          </a:extLst>
        </xdr:cNvPr>
        <xdr:cNvSpPr/>
      </xdr:nvSpPr>
      <xdr:spPr>
        <a:xfrm>
          <a:off x="9906000" y="20002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Cotización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180975</xdr:rowOff>
    </xdr:from>
    <xdr:to>
      <xdr:col>10</xdr:col>
      <xdr:colOff>238875</xdr:colOff>
      <xdr:row>5</xdr:row>
      <xdr:rowOff>23475</xdr:rowOff>
    </xdr:to>
    <xdr:sp macro="[0]!MostrarFormularioV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0265AB1-A667-44E1-2F07-F55EA8B0131D}"/>
            </a:ext>
          </a:extLst>
        </xdr:cNvPr>
        <xdr:cNvSpPr/>
      </xdr:nvSpPr>
      <xdr:spPr>
        <a:xfrm>
          <a:off x="6238875" y="56197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VENTA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818EFCE-A784-466C-9E64-F1B970F6C39E}" autoFormatId="16" applyNumberFormats="0" applyBorderFormats="0" applyFontFormats="0" applyPatternFormats="0" applyAlignmentFormats="0" applyWidthHeightFormats="0">
  <queryTableRefresh nextId="2">
    <queryTableFields count="1">
      <queryTableField id="1" name="No_Orden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D847F0F1-4468-4D26-AF4F-00DA0D3EFCF7}" autoFormatId="16" applyNumberFormats="0" applyBorderFormats="0" applyFontFormats="0" applyPatternFormats="0" applyAlignmentFormats="0" applyWidthHeightFormats="0">
  <queryTableRefresh nextId="2">
    <queryTableFields count="1">
      <queryTableField id="1" name="No_Orden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7F8606-6E62-4326-8FD8-AB1DB88FB261}" name="Total_Ordenes_de_Compra" displayName="Total_Ordenes_de_Compra" ref="E2:E4" tableType="queryTable" totalsRowShown="0">
  <autoFilter ref="E2:E4" xr:uid="{3F7F8606-6E62-4326-8FD8-AB1DB88FB261}"/>
  <tableColumns count="1">
    <tableColumn id="1" xr3:uid="{FA62F49C-CA3A-4170-BFF8-58B7D9995BAC}" uniqueName="1" name="No_Orden" queryTableFieldId="1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DEFD402-EF70-459B-B149-586A8B46A558}" name="Total_Ordenes_de_Venta" displayName="Total_Ordenes_de_Venta" ref="G2:G3" tableType="queryTable" totalsRowShown="0">
  <autoFilter ref="G2:G3" xr:uid="{CDEFD402-EF70-459B-B149-586A8B46A558}"/>
  <tableColumns count="1">
    <tableColumn id="1" xr3:uid="{4B1B4838-CBA1-4EA7-8C90-C223DC432672}" uniqueName="1" name="No_Orden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BF95-D906-4F48-BC71-23EE42032069}">
  <sheetPr codeName="Hoja1"/>
  <dimension ref="B1:E5"/>
  <sheetViews>
    <sheetView workbookViewId="0">
      <selection activeCell="F1" sqref="F1"/>
    </sheetView>
  </sheetViews>
  <sheetFormatPr baseColWidth="10" defaultRowHeight="15" x14ac:dyDescent="0.25"/>
  <cols>
    <col min="1" max="1" width="5.7109375" customWidth="1"/>
    <col min="4" max="4" width="5.7109375" customWidth="1"/>
    <col min="6" max="6" width="5.7109375" customWidth="1"/>
  </cols>
  <sheetData>
    <row r="1" spans="2:5" x14ac:dyDescent="0.25">
      <c r="B1" t="s">
        <v>3</v>
      </c>
      <c r="C1" t="s">
        <v>2</v>
      </c>
      <c r="E1" t="s">
        <v>11</v>
      </c>
    </row>
    <row r="2" spans="2:5" x14ac:dyDescent="0.25">
      <c r="B2" t="s">
        <v>6</v>
      </c>
      <c r="C2" t="s">
        <v>7</v>
      </c>
      <c r="E2" t="s">
        <v>12</v>
      </c>
    </row>
    <row r="3" spans="2:5" x14ac:dyDescent="0.25">
      <c r="B3" t="s">
        <v>8</v>
      </c>
      <c r="C3" t="s">
        <v>9</v>
      </c>
      <c r="E3" t="s">
        <v>13</v>
      </c>
    </row>
    <row r="4" spans="2:5" x14ac:dyDescent="0.25">
      <c r="B4" t="s">
        <v>4</v>
      </c>
      <c r="C4" t="s">
        <v>5</v>
      </c>
      <c r="E4" t="s">
        <v>14</v>
      </c>
    </row>
    <row r="5" spans="2:5" x14ac:dyDescent="0.25">
      <c r="E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D90FB-523F-4AD8-9D5C-A97BD0C93237}">
  <sheetPr codeName="Hoja2"/>
  <dimension ref="A1"/>
  <sheetViews>
    <sheetView tabSelected="1" workbookViewId="0">
      <selection activeCell="L11" sqref="L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79D4-EAEC-45E5-B24D-FB83A55930E3}">
  <sheetPr codeName="Hoja12"/>
  <dimension ref="B2:G4"/>
  <sheetViews>
    <sheetView workbookViewId="0">
      <selection activeCell="C4" sqref="C4"/>
    </sheetView>
  </sheetViews>
  <sheetFormatPr baseColWidth="10" defaultRowHeight="15" x14ac:dyDescent="0.25"/>
  <cols>
    <col min="1" max="1" width="5.7109375" customWidth="1"/>
    <col min="2" max="2" width="30" bestFit="1" customWidth="1"/>
    <col min="5" max="5" width="12.28515625" bestFit="1" customWidth="1"/>
    <col min="7" max="7" width="12.28515625" bestFit="1" customWidth="1"/>
  </cols>
  <sheetData>
    <row r="2" spans="2:7" x14ac:dyDescent="0.25">
      <c r="B2" t="s">
        <v>23</v>
      </c>
      <c r="C2">
        <f>COUNTA(Total_Ordenes_de_Compra[[#All],[No_Orden]])-1</f>
        <v>2</v>
      </c>
      <c r="E2" t="s">
        <v>36</v>
      </c>
      <c r="G2" t="s">
        <v>36</v>
      </c>
    </row>
    <row r="3" spans="2:7" x14ac:dyDescent="0.25">
      <c r="B3" t="s">
        <v>24</v>
      </c>
      <c r="C3">
        <f>COUNTA(Total_Ordenes_de_Venta[[#All],[No_Orden]])-1</f>
        <v>1</v>
      </c>
      <c r="E3" s="5" t="s">
        <v>37</v>
      </c>
      <c r="G3" s="5" t="s">
        <v>39</v>
      </c>
    </row>
    <row r="4" spans="2:7" x14ac:dyDescent="0.25">
      <c r="B4" t="s">
        <v>20</v>
      </c>
      <c r="C4" t="s">
        <v>32</v>
      </c>
      <c r="E4" s="5" t="s">
        <v>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E2E14-F954-4B58-BDC5-F2D4C2B24605}">
  <sheetPr codeName="Hoja7"/>
  <dimension ref="A1:H5"/>
  <sheetViews>
    <sheetView workbookViewId="0"/>
  </sheetViews>
  <sheetFormatPr baseColWidth="10" defaultRowHeight="15" x14ac:dyDescent="0.25"/>
  <cols>
    <col min="2" max="2" width="16.140625" bestFit="1" customWidth="1"/>
    <col min="3" max="3" width="16.5703125" bestFit="1" customWidth="1"/>
    <col min="5" max="5" width="13.7109375" bestFit="1" customWidth="1"/>
    <col min="6" max="6" width="15.42578125" bestFit="1" customWidth="1"/>
    <col min="7" max="7" width="11.140625" bestFit="1" customWidth="1"/>
    <col min="8" max="8" width="12.7109375" bestFit="1" customWidth="1"/>
  </cols>
  <sheetData>
    <row r="1" spans="1:8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27</v>
      </c>
    </row>
    <row r="2" spans="1:8" x14ac:dyDescent="0.25">
      <c r="A2">
        <v>1</v>
      </c>
      <c r="B2" t="s">
        <v>25</v>
      </c>
      <c r="C2" t="s">
        <v>26</v>
      </c>
      <c r="D2" t="s">
        <v>22</v>
      </c>
      <c r="E2" s="1">
        <v>45837</v>
      </c>
      <c r="F2" t="s">
        <v>28</v>
      </c>
      <c r="G2" t="s">
        <v>41</v>
      </c>
      <c r="H2" t="s">
        <v>29</v>
      </c>
    </row>
    <row r="3" spans="1:8" x14ac:dyDescent="0.25">
      <c r="A3">
        <v>2</v>
      </c>
      <c r="B3" t="s">
        <v>25</v>
      </c>
      <c r="C3" t="s">
        <v>26</v>
      </c>
      <c r="D3" t="s">
        <v>22</v>
      </c>
      <c r="E3" s="1">
        <v>45837</v>
      </c>
      <c r="F3" t="s">
        <v>32</v>
      </c>
      <c r="G3" t="s">
        <v>42</v>
      </c>
      <c r="H3" t="s">
        <v>30</v>
      </c>
    </row>
    <row r="4" spans="1:8" x14ac:dyDescent="0.25">
      <c r="A4">
        <v>3</v>
      </c>
      <c r="B4" t="s">
        <v>25</v>
      </c>
      <c r="C4" t="s">
        <v>26</v>
      </c>
      <c r="D4" t="s">
        <v>22</v>
      </c>
      <c r="E4" s="1">
        <v>45837</v>
      </c>
      <c r="F4" t="s">
        <v>33</v>
      </c>
      <c r="G4" t="s">
        <v>43</v>
      </c>
      <c r="H4" t="s">
        <v>31</v>
      </c>
    </row>
    <row r="5" spans="1:8" x14ac:dyDescent="0.25">
      <c r="A5">
        <v>4</v>
      </c>
      <c r="B5" t="s">
        <v>25</v>
      </c>
      <c r="C5" t="s">
        <v>26</v>
      </c>
      <c r="D5" t="s">
        <v>22</v>
      </c>
      <c r="E5" s="1">
        <v>45837</v>
      </c>
      <c r="F5" t="s">
        <v>45</v>
      </c>
      <c r="G5" t="s">
        <v>44</v>
      </c>
      <c r="H5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805-AC3F-4175-812B-EF1CE7A111A9}">
  <sheetPr codeName="Hoja11"/>
  <dimension ref="B2:F6"/>
  <sheetViews>
    <sheetView workbookViewId="0">
      <selection activeCell="A5" sqref="A5"/>
    </sheetView>
  </sheetViews>
  <sheetFormatPr baseColWidth="10" defaultRowHeight="15" x14ac:dyDescent="0.25"/>
  <cols>
    <col min="1" max="1" width="5.7109375" customWidth="1"/>
    <col min="2" max="2" width="16.140625" bestFit="1" customWidth="1"/>
  </cols>
  <sheetData>
    <row r="2" spans="2:6" x14ac:dyDescent="0.25">
      <c r="B2" s="3" t="s">
        <v>10</v>
      </c>
      <c r="C2" s="4">
        <f ca="1">NOW()</f>
        <v>45838.698704166665</v>
      </c>
      <c r="D2" s="4"/>
      <c r="E2" s="4"/>
      <c r="F2" s="4"/>
    </row>
    <row r="3" spans="2:6" x14ac:dyDescent="0.25">
      <c r="B3" s="3" t="s">
        <v>20</v>
      </c>
      <c r="C3" s="6" t="str">
        <f>Temporales!C4</f>
        <v>MEDINA02</v>
      </c>
      <c r="D3" s="6"/>
    </row>
    <row r="4" spans="2:6" x14ac:dyDescent="0.25">
      <c r="B4" s="3" t="s">
        <v>1</v>
      </c>
      <c r="C4" s="6" t="str">
        <f>_xlfn.XLOOKUP(C3,Usuarios!$F$1:$F$50,Usuarios!$D$1:$D$50,"")</f>
        <v>Antonio</v>
      </c>
      <c r="D4" s="6"/>
    </row>
    <row r="5" spans="2:6" x14ac:dyDescent="0.25">
      <c r="B5" s="3" t="s">
        <v>34</v>
      </c>
      <c r="C5" s="6" t="str">
        <f>_xlfn.XLOOKUP(C3,Usuarios!$F$1:$F$50,Usuarios!$B$1:$B$50,"")</f>
        <v>Medina</v>
      </c>
      <c r="D5" s="6"/>
    </row>
    <row r="6" spans="2:6" x14ac:dyDescent="0.25">
      <c r="B6" s="3" t="s">
        <v>35</v>
      </c>
      <c r="C6" s="6" t="str">
        <f>_xlfn.XLOOKUP(C3,Usuarios!$F$1:$F$50,Usuarios!$C$1:$C$50,"")</f>
        <v>Rosas</v>
      </c>
      <c r="D6" s="6"/>
    </row>
  </sheetData>
  <mergeCells count="1">
    <mergeCell ref="C2:F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092C-7D2F-48D1-BFD0-2931FAB36000}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CA0A5-741E-47F8-8A14-02BA409C2208}">
  <sheetPr codeName="Hoja3"/>
  <dimension ref="B2:H6"/>
  <sheetViews>
    <sheetView workbookViewId="0">
      <selection activeCell="O16" sqref="O16"/>
    </sheetView>
  </sheetViews>
  <sheetFormatPr baseColWidth="10" defaultRowHeight="15" x14ac:dyDescent="0.25"/>
  <cols>
    <col min="1" max="1" width="5.7109375" customWidth="1"/>
    <col min="2" max="2" width="16.140625" bestFit="1" customWidth="1"/>
    <col min="3" max="3" width="11.42578125" customWidth="1"/>
  </cols>
  <sheetData>
    <row r="2" spans="2:8" x14ac:dyDescent="0.25">
      <c r="B2" s="3" t="s">
        <v>10</v>
      </c>
      <c r="C2" s="4">
        <f ca="1">NOW()</f>
        <v>45838.698704166665</v>
      </c>
      <c r="D2" s="4"/>
      <c r="E2" s="4"/>
      <c r="F2" s="4"/>
      <c r="G2" s="2"/>
      <c r="H2" s="2"/>
    </row>
    <row r="3" spans="2:8" x14ac:dyDescent="0.25">
      <c r="B3" s="3" t="s">
        <v>20</v>
      </c>
      <c r="C3" s="6" t="str">
        <f>Temporales!C4</f>
        <v>MEDINA02</v>
      </c>
      <c r="D3" s="6"/>
    </row>
    <row r="4" spans="2:8" x14ac:dyDescent="0.25">
      <c r="B4" s="3" t="s">
        <v>1</v>
      </c>
      <c r="C4" s="6" t="str">
        <f>_xlfn.XLOOKUP(C3,Usuarios!$F$1:$F$50,Usuarios!$D$1:$D$50,"")</f>
        <v>Antonio</v>
      </c>
      <c r="D4" s="6"/>
    </row>
    <row r="5" spans="2:8" x14ac:dyDescent="0.25">
      <c r="B5" s="3" t="s">
        <v>34</v>
      </c>
      <c r="C5" s="6" t="str">
        <f>_xlfn.XLOOKUP(C3,Usuarios!$F$1:$F$50,Usuarios!$B$1:$B$50,"")</f>
        <v>Medina</v>
      </c>
      <c r="D5" s="6"/>
    </row>
    <row r="6" spans="2:8" x14ac:dyDescent="0.25">
      <c r="B6" s="3" t="s">
        <v>35</v>
      </c>
      <c r="C6" s="6" t="str">
        <f>_xlfn.XLOOKUP(C3,Usuarios!$F$1:$F$50,Usuarios!$C$1:$C$50,"")</f>
        <v>Rosas</v>
      </c>
      <c r="D6" s="6"/>
    </row>
  </sheetData>
  <mergeCells count="1">
    <mergeCell ref="C2:F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11BE72-F09F-46CC-B849-401653ED5E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TANYA VICTORIA MONTES - VALLIN</dc:creator>
  <cp:lastModifiedBy>TANYA VICTORIA MONTES - VALLIN</cp:lastModifiedBy>
  <dcterms:created xsi:type="dcterms:W3CDTF">2025-06-29T20:18:48Z</dcterms:created>
  <dcterms:modified xsi:type="dcterms:W3CDTF">2025-06-30T22:46:50Z</dcterms:modified>
</cp:coreProperties>
</file>