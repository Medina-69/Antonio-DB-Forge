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edin\OneDrive\Documentos\Curriculum\Proyecto ERP\"/>
    </mc:Choice>
  </mc:AlternateContent>
  <xr:revisionPtr revIDLastSave="0" documentId="13_ncr:1_{2AE670CD-0CF3-4DEA-87EC-1A521EE6B431}" xr6:coauthVersionLast="47" xr6:coauthVersionMax="47" xr10:uidLastSave="{00000000-0000-0000-0000-000000000000}"/>
  <bookViews>
    <workbookView xWindow="-120" yWindow="-120" windowWidth="29040" windowHeight="15720" tabRatio="750" firstSheet="3" activeTab="3" xr2:uid="{03F8D201-4A18-40F8-B9CC-16298034F158}"/>
  </bookViews>
  <sheets>
    <sheet name="Varios" sheetId="8" state="veryHidden" r:id="rId1"/>
    <sheet name="Temporales" sheetId="16" state="veryHidden" r:id="rId2"/>
    <sheet name="Usuarios" sheetId="4" state="veryHidden" r:id="rId3"/>
    <sheet name="Inicio" sheetId="17" r:id="rId4"/>
    <sheet name="D_Compras" sheetId="15" state="veryHidden" r:id="rId5"/>
    <sheet name="D_Ventas" sheetId="18" state="very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8" l="1"/>
  <c r="C3" i="16"/>
  <c r="C2" i="16"/>
</calcChain>
</file>

<file path=xl/sharedStrings.xml><?xml version="1.0" encoding="utf-8"?>
<sst xmlns="http://schemas.openxmlformats.org/spreadsheetml/2006/main" count="47" uniqueCount="40">
  <si>
    <t>Id</t>
  </si>
  <si>
    <t>Nombre</t>
  </si>
  <si>
    <t>Descripción</t>
  </si>
  <si>
    <t>Unidad</t>
  </si>
  <si>
    <t>pz</t>
  </si>
  <si>
    <t>Pieza</t>
  </si>
  <si>
    <t>bx</t>
  </si>
  <si>
    <t>Caja</t>
  </si>
  <si>
    <t>pk</t>
  </si>
  <si>
    <t>Paquete</t>
  </si>
  <si>
    <t>Fecha</t>
  </si>
  <si>
    <t>Status</t>
  </si>
  <si>
    <t>Aceptado</t>
  </si>
  <si>
    <t>Cancelado</t>
  </si>
  <si>
    <t>Stand-by</t>
  </si>
  <si>
    <t>Pagado</t>
  </si>
  <si>
    <t>Apellido_Paterno</t>
  </si>
  <si>
    <t>Apellido_Materno</t>
  </si>
  <si>
    <t>Nombre(s)</t>
  </si>
  <si>
    <t>Fecha_Ingreso</t>
  </si>
  <si>
    <t>Fecha_Salida</t>
  </si>
  <si>
    <t>Usuario</t>
  </si>
  <si>
    <t>Contraseña</t>
  </si>
  <si>
    <t>Antonio</t>
  </si>
  <si>
    <t>Numero de cotizaciones compra</t>
  </si>
  <si>
    <t>Numero de cotizaciones venta</t>
  </si>
  <si>
    <t>Medina</t>
  </si>
  <si>
    <t>Rosas</t>
  </si>
  <si>
    <t>Rol</t>
  </si>
  <si>
    <t>MEDINA01</t>
  </si>
  <si>
    <t>Admin</t>
  </si>
  <si>
    <t>Vendedor</t>
  </si>
  <si>
    <t>Comprador</t>
  </si>
  <si>
    <t>MEDINA02</t>
  </si>
  <si>
    <t>MEDINA03</t>
  </si>
  <si>
    <t>Apellido Paterno</t>
  </si>
  <si>
    <t>Apellido Materno</t>
  </si>
  <si>
    <t>Bepo.1511</t>
  </si>
  <si>
    <t>Algo.1234</t>
  </si>
  <si>
    <t>Momo.2912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</si>
</sst>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dddd\,\ dd\ &quot;de&quot;\ mmmm\ &quot;de&quot;\ yyyy&quot;;&quot;\ h:mm:ss\ AM/PM"/>
  </numFmts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7" fontId="0" fillId="0" borderId="0" xfId="0" applyNumberFormat="1" applyAlignment="1"/>
    <xf numFmtId="167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43C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704850</xdr:colOff>
      <xdr:row>2</xdr:row>
      <xdr:rowOff>85725</xdr:rowOff>
    </xdr:from>
    <xdr:to>
      <xdr:col>7</xdr:col>
      <xdr:colOff>38850</xdr:colOff>
      <xdr:row>4</xdr:row>
      <xdr:rowOff>118725</xdr:rowOff>
    </xdr:to>
    <xdr:sp macro="[0]!MostrarFormularioUser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3B93D58-B6CB-9509-EA79-83A16D194DC4}"/>
            </a:ext>
          </a:extLst>
        </xdr:cNvPr>
        <xdr:cNvSpPr/>
      </xdr:nvSpPr>
      <xdr:spPr>
        <a:xfrm>
          <a:off x="3752850" y="466725"/>
          <a:ext cx="1620000" cy="414000"/>
        </a:xfrm>
        <a:prstGeom prst="roundRect">
          <a:avLst/>
        </a:prstGeom>
        <a:solidFill>
          <a:srgbClr val="243C4E"/>
        </a:solidFill>
        <a:ln>
          <a:solidFill>
            <a:srgbClr val="243C4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Login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9525</xdr:rowOff>
    </xdr:from>
    <xdr:to>
      <xdr:col>15</xdr:col>
      <xdr:colOff>96000</xdr:colOff>
      <xdr:row>3</xdr:row>
      <xdr:rowOff>42525</xdr:rowOff>
    </xdr:to>
    <xdr:sp macro="[0]!MostrarFormularioCotizacio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BEAFD1E-312E-415A-860B-FE4C9221A3D0}"/>
            </a:ext>
          </a:extLst>
        </xdr:cNvPr>
        <xdr:cNvSpPr/>
      </xdr:nvSpPr>
      <xdr:spPr>
        <a:xfrm>
          <a:off x="9906000" y="200025"/>
          <a:ext cx="1620000" cy="414000"/>
        </a:xfrm>
        <a:prstGeom prst="roundRect">
          <a:avLst/>
        </a:prstGeom>
        <a:solidFill>
          <a:srgbClr val="243C4E"/>
        </a:solidFill>
        <a:ln>
          <a:solidFill>
            <a:srgbClr val="243C4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Cotización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2</xdr:row>
      <xdr:rowOff>180975</xdr:rowOff>
    </xdr:from>
    <xdr:to>
      <xdr:col>10</xdr:col>
      <xdr:colOff>238875</xdr:colOff>
      <xdr:row>5</xdr:row>
      <xdr:rowOff>23475</xdr:rowOff>
    </xdr:to>
    <xdr:sp macro="[0]!MostrarFormulariovV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0265AB1-A667-44E1-2F07-F55EA8B0131D}"/>
            </a:ext>
          </a:extLst>
        </xdr:cNvPr>
        <xdr:cNvSpPr/>
      </xdr:nvSpPr>
      <xdr:spPr>
        <a:xfrm>
          <a:off x="6238875" y="561975"/>
          <a:ext cx="1620000" cy="414000"/>
        </a:xfrm>
        <a:prstGeom prst="roundRect">
          <a:avLst/>
        </a:prstGeom>
        <a:solidFill>
          <a:srgbClr val="243C4E"/>
        </a:solidFill>
        <a:ln>
          <a:solidFill>
            <a:srgbClr val="243C4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VENTA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CBF95-D906-4F48-BC71-23EE42032069}">
  <sheetPr codeName="Hoja1"/>
  <dimension ref="B1:E5"/>
  <sheetViews>
    <sheetView workbookViewId="0">
      <selection activeCell="F1" sqref="F1"/>
    </sheetView>
  </sheetViews>
  <sheetFormatPr baseColWidth="10" defaultRowHeight="15" x14ac:dyDescent="0.25"/>
  <cols>
    <col min="1" max="1" width="5.7109375" customWidth="1"/>
    <col min="4" max="4" width="5.7109375" customWidth="1"/>
    <col min="6" max="6" width="5.7109375" customWidth="1"/>
  </cols>
  <sheetData>
    <row r="1" spans="2:5" x14ac:dyDescent="0.25">
      <c r="B1" t="s">
        <v>3</v>
      </c>
      <c r="C1" t="s">
        <v>2</v>
      </c>
      <c r="E1" t="s">
        <v>11</v>
      </c>
    </row>
    <row r="2" spans="2:5" x14ac:dyDescent="0.25">
      <c r="B2" t="s">
        <v>6</v>
      </c>
      <c r="C2" t="s">
        <v>7</v>
      </c>
      <c r="E2" t="s">
        <v>12</v>
      </c>
    </row>
    <row r="3" spans="2:5" x14ac:dyDescent="0.25">
      <c r="B3" t="s">
        <v>8</v>
      </c>
      <c r="C3" t="s">
        <v>9</v>
      </c>
      <c r="E3" t="s">
        <v>13</v>
      </c>
    </row>
    <row r="4" spans="2:5" x14ac:dyDescent="0.25">
      <c r="B4" t="s">
        <v>4</v>
      </c>
      <c r="C4" t="s">
        <v>5</v>
      </c>
      <c r="E4" t="s">
        <v>14</v>
      </c>
    </row>
    <row r="5" spans="2:5" x14ac:dyDescent="0.25">
      <c r="E5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B79D4-EAEC-45E5-B24D-FB83A55930E3}">
  <sheetPr codeName="Hoja12"/>
  <dimension ref="B2:C3"/>
  <sheetViews>
    <sheetView workbookViewId="0">
      <selection activeCell="C3" sqref="C3"/>
    </sheetView>
  </sheetViews>
  <sheetFormatPr baseColWidth="10" defaultRowHeight="15" x14ac:dyDescent="0.25"/>
  <cols>
    <col min="1" max="1" width="5.7109375" customWidth="1"/>
    <col min="2" max="2" width="30" bestFit="1" customWidth="1"/>
  </cols>
  <sheetData>
    <row r="2" spans="2:3" x14ac:dyDescent="0.25">
      <c r="B2" t="s">
        <v>24</v>
      </c>
      <c r="C2">
        <f>COUNTA(#REF!)-1</f>
        <v>0</v>
      </c>
    </row>
    <row r="3" spans="2:3" x14ac:dyDescent="0.25">
      <c r="B3" t="s">
        <v>25</v>
      </c>
      <c r="C3">
        <f>COUNTA(#REF!)-1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E2E14-F954-4B58-BDC5-F2D4C2B24605}">
  <sheetPr codeName="Hoja7"/>
  <dimension ref="A1:I4"/>
  <sheetViews>
    <sheetView workbookViewId="0">
      <selection activeCell="G3" sqref="G3"/>
    </sheetView>
  </sheetViews>
  <sheetFormatPr baseColWidth="10" defaultRowHeight="15" x14ac:dyDescent="0.25"/>
  <cols>
    <col min="2" max="2" width="16.140625" bestFit="1" customWidth="1"/>
    <col min="3" max="3" width="16.5703125" bestFit="1" customWidth="1"/>
    <col min="5" max="5" width="13.7109375" bestFit="1" customWidth="1"/>
    <col min="6" max="6" width="15.42578125" bestFit="1" customWidth="1"/>
    <col min="7" max="7" width="11.140625" bestFit="1" customWidth="1"/>
    <col min="8" max="9" width="12.7109375" bestFit="1" customWidth="1"/>
  </cols>
  <sheetData>
    <row r="1" spans="1:9" x14ac:dyDescent="0.25">
      <c r="A1" t="s">
        <v>0</v>
      </c>
      <c r="B1" t="s">
        <v>16</v>
      </c>
      <c r="C1" t="s">
        <v>17</v>
      </c>
      <c r="D1" t="s">
        <v>18</v>
      </c>
      <c r="E1" t="s">
        <v>19</v>
      </c>
      <c r="F1" t="s">
        <v>21</v>
      </c>
      <c r="G1" t="s">
        <v>22</v>
      </c>
      <c r="H1" t="s">
        <v>28</v>
      </c>
      <c r="I1" t="s">
        <v>20</v>
      </c>
    </row>
    <row r="2" spans="1:9" x14ac:dyDescent="0.25">
      <c r="A2">
        <v>1</v>
      </c>
      <c r="B2" t="s">
        <v>26</v>
      </c>
      <c r="C2" t="s">
        <v>27</v>
      </c>
      <c r="D2" t="s">
        <v>23</v>
      </c>
      <c r="E2" s="1">
        <v>45837</v>
      </c>
      <c r="F2" t="s">
        <v>29</v>
      </c>
      <c r="G2" t="s">
        <v>39</v>
      </c>
      <c r="H2" t="s">
        <v>30</v>
      </c>
    </row>
    <row r="3" spans="1:9" x14ac:dyDescent="0.25">
      <c r="A3">
        <v>2</v>
      </c>
      <c r="B3" t="s">
        <v>26</v>
      </c>
      <c r="C3" t="s">
        <v>27</v>
      </c>
      <c r="D3" t="s">
        <v>23</v>
      </c>
      <c r="E3" s="1">
        <v>45837</v>
      </c>
      <c r="F3" t="s">
        <v>33</v>
      </c>
      <c r="G3" t="s">
        <v>37</v>
      </c>
      <c r="H3" t="s">
        <v>31</v>
      </c>
    </row>
    <row r="4" spans="1:9" x14ac:dyDescent="0.25">
      <c r="A4">
        <v>3</v>
      </c>
      <c r="B4" t="s">
        <v>26</v>
      </c>
      <c r="C4" t="s">
        <v>27</v>
      </c>
      <c r="D4" t="s">
        <v>23</v>
      </c>
      <c r="E4" s="1">
        <v>45837</v>
      </c>
      <c r="F4" t="s">
        <v>34</v>
      </c>
      <c r="G4" t="s">
        <v>38</v>
      </c>
      <c r="H4" t="s">
        <v>32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D90FB-523F-4AD8-9D5C-A97BD0C93237}">
  <sheetPr codeName="Hoja2"/>
  <dimension ref="A1"/>
  <sheetViews>
    <sheetView tabSelected="1" workbookViewId="0">
      <selection activeCell="L11" sqref="L11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D5805-AC3F-4175-812B-EF1CE7A111A9}">
  <sheetPr codeName="Hoja11"/>
  <dimension ref="A1"/>
  <sheetViews>
    <sheetView workbookViewId="0">
      <selection activeCell="N6" sqref="N6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CA0A5-741E-47F8-8A14-02BA409C2208}">
  <sheetPr codeName="Hoja3"/>
  <dimension ref="B2:H6"/>
  <sheetViews>
    <sheetView workbookViewId="0">
      <selection activeCell="G8" sqref="G8"/>
    </sheetView>
  </sheetViews>
  <sheetFormatPr baseColWidth="10" defaultRowHeight="15" x14ac:dyDescent="0.25"/>
  <cols>
    <col min="1" max="1" width="5.7109375" customWidth="1"/>
    <col min="2" max="2" width="16.140625" bestFit="1" customWidth="1"/>
    <col min="3" max="3" width="11.42578125" customWidth="1"/>
  </cols>
  <sheetData>
    <row r="2" spans="2:8" x14ac:dyDescent="0.25">
      <c r="B2" s="4" t="s">
        <v>10</v>
      </c>
      <c r="C2" s="3">
        <f ca="1">NOW()</f>
        <v>45837.943570833333</v>
      </c>
      <c r="D2" s="3"/>
      <c r="E2" s="3"/>
      <c r="F2" s="3"/>
      <c r="G2" s="2"/>
      <c r="H2" s="2"/>
    </row>
    <row r="3" spans="2:8" x14ac:dyDescent="0.25">
      <c r="B3" s="4" t="s">
        <v>21</v>
      </c>
      <c r="C3" s="5"/>
      <c r="D3" s="5"/>
    </row>
    <row r="4" spans="2:8" x14ac:dyDescent="0.25">
      <c r="B4" s="4" t="s">
        <v>1</v>
      </c>
      <c r="C4" s="5"/>
      <c r="D4" s="5"/>
    </row>
    <row r="5" spans="2:8" x14ac:dyDescent="0.25">
      <c r="B5" s="4" t="s">
        <v>35</v>
      </c>
      <c r="C5" s="5"/>
      <c r="D5" s="5"/>
    </row>
    <row r="6" spans="2:8" x14ac:dyDescent="0.25">
      <c r="B6" s="4" t="s">
        <v>36</v>
      </c>
      <c r="C6" s="5"/>
      <c r="D6" s="5"/>
    </row>
  </sheetData>
  <mergeCells count="5">
    <mergeCell ref="C5:D5"/>
    <mergeCell ref="C6:D6"/>
    <mergeCell ref="C2:F2"/>
    <mergeCell ref="C3:D3"/>
    <mergeCell ref="C4:D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Inicio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TANYA VICTORIA MONTES - VALLIN</dc:creator>
  <cp:lastModifiedBy>TANYA VICTORIA MONTES - VALLIN</cp:lastModifiedBy>
  <dcterms:created xsi:type="dcterms:W3CDTF">2025-06-29T20:18:48Z</dcterms:created>
  <dcterms:modified xsi:type="dcterms:W3CDTF">2025-06-30T04:59:41Z</dcterms:modified>
</cp:coreProperties>
</file>