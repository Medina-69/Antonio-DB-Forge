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din\OneDrive\Documentos\Curriculum\Proyecto ERP\"/>
    </mc:Choice>
  </mc:AlternateContent>
  <xr:revisionPtr revIDLastSave="0" documentId="13_ncr:1_{56BDD2C5-26C9-470A-85FA-2267BB61E9FE}" xr6:coauthVersionLast="47" xr6:coauthVersionMax="47" xr10:uidLastSave="{00000000-0000-0000-0000-000000000000}"/>
  <bookViews>
    <workbookView xWindow="-120" yWindow="-120" windowWidth="29040" windowHeight="15720" tabRatio="750" activeTab="4" xr2:uid="{03F8D201-4A18-40F8-B9CC-16298034F158}"/>
  </bookViews>
  <sheets>
    <sheet name="Varios" sheetId="8" r:id="rId1"/>
    <sheet name="Temporales" sheetId="16" r:id="rId2"/>
    <sheet name="Proveedores" sheetId="3" r:id="rId3"/>
    <sheet name="Marcas" sheetId="6" r:id="rId4"/>
    <sheet name="Productos" sheetId="1" r:id="rId5"/>
    <sheet name="Ordenes_Compra" sheetId="10" r:id="rId6"/>
    <sheet name="Compras" sheetId="7" r:id="rId7"/>
    <sheet name="Usuarios" sheetId="4" r:id="rId8"/>
    <sheet name="Clientes" sheetId="2" r:id="rId9"/>
    <sheet name="Orden_Venta" sheetId="12" r:id="rId10"/>
    <sheet name="Ventas" sheetId="5" r:id="rId11"/>
    <sheet name="D_Compras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3" i="2"/>
  <c r="B2" i="2"/>
  <c r="C3" i="16"/>
  <c r="C2" i="16"/>
</calcChain>
</file>

<file path=xl/sharedStrings.xml><?xml version="1.0" encoding="utf-8"?>
<sst xmlns="http://schemas.openxmlformats.org/spreadsheetml/2006/main" count="110" uniqueCount="62">
  <si>
    <t>Id</t>
  </si>
  <si>
    <t>Codigo</t>
  </si>
  <si>
    <t>Nombre</t>
  </si>
  <si>
    <t>Descripción</t>
  </si>
  <si>
    <t>Marca</t>
  </si>
  <si>
    <t>Unidad</t>
  </si>
  <si>
    <t>Id_Proveedor</t>
  </si>
  <si>
    <t>Id_Marca</t>
  </si>
  <si>
    <t>Costo_unitario</t>
  </si>
  <si>
    <t>pz</t>
  </si>
  <si>
    <t>Pieza</t>
  </si>
  <si>
    <t>bx</t>
  </si>
  <si>
    <t>Caja</t>
  </si>
  <si>
    <t>pk</t>
  </si>
  <si>
    <t>Paquete</t>
  </si>
  <si>
    <t>Dirección</t>
  </si>
  <si>
    <t>Teléfono</t>
  </si>
  <si>
    <t>e-mail</t>
  </si>
  <si>
    <t>RFC</t>
  </si>
  <si>
    <t>Banco</t>
  </si>
  <si>
    <t>Cuenta</t>
  </si>
  <si>
    <t>Fecha</t>
  </si>
  <si>
    <t>Homoclave</t>
  </si>
  <si>
    <t>Imagen_Principal</t>
  </si>
  <si>
    <t>Imagen_1</t>
  </si>
  <si>
    <t>Imagen_2</t>
  </si>
  <si>
    <t>Imagen_3</t>
  </si>
  <si>
    <t>Imagen</t>
  </si>
  <si>
    <t>Id_Producto</t>
  </si>
  <si>
    <t>Costo_Unitario</t>
  </si>
  <si>
    <t>Descuento</t>
  </si>
  <si>
    <t>Cantidad</t>
  </si>
  <si>
    <t>Status</t>
  </si>
  <si>
    <t>Aceptado</t>
  </si>
  <si>
    <t>Cancelado</t>
  </si>
  <si>
    <t>Stand-by</t>
  </si>
  <si>
    <t>No_Orden</t>
  </si>
  <si>
    <t>Prefijo</t>
  </si>
  <si>
    <t>Total</t>
  </si>
  <si>
    <t>IVA</t>
  </si>
  <si>
    <t>Sub-Total</t>
  </si>
  <si>
    <t>Pagado</t>
  </si>
  <si>
    <t>Apellido_Paterno</t>
  </si>
  <si>
    <t>Apellido_Materno</t>
  </si>
  <si>
    <t>Nombre(s)</t>
  </si>
  <si>
    <t>Fecha_Ingreso</t>
  </si>
  <si>
    <t>Fecha_Salida</t>
  </si>
  <si>
    <t>Usuario</t>
  </si>
  <si>
    <t>Contraseña</t>
  </si>
  <si>
    <t>Id_Cliente</t>
  </si>
  <si>
    <t>Antonio</t>
  </si>
  <si>
    <t>Tanya</t>
  </si>
  <si>
    <t>Numero de cotizaciones compra</t>
  </si>
  <si>
    <t>Numero de cotizaciones venta</t>
  </si>
  <si>
    <t>Montes</t>
  </si>
  <si>
    <t>Medina</t>
  </si>
  <si>
    <t>Rosas</t>
  </si>
  <si>
    <t>Cortes</t>
  </si>
  <si>
    <t>Hernandez</t>
  </si>
  <si>
    <t>David</t>
  </si>
  <si>
    <t>Vallin</t>
  </si>
  <si>
    <t>Nombre completo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</si>
</sst>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BF95-D906-4F48-BC71-23EE42032069}">
  <sheetPr codeName="Hoja1"/>
  <dimension ref="B1:E5"/>
  <sheetViews>
    <sheetView workbookViewId="0">
      <selection activeCell="F1" sqref="F1"/>
    </sheetView>
  </sheetViews>
  <sheetFormatPr baseColWidth="10" defaultRowHeight="15" x14ac:dyDescent="0.25"/>
  <cols>
    <col min="1" max="1" width="5.7109375" customWidth="1"/>
    <col min="4" max="4" width="5.7109375" customWidth="1"/>
    <col min="6" max="6" width="5.7109375" customWidth="1"/>
  </cols>
  <sheetData>
    <row r="1" spans="2:5" x14ac:dyDescent="0.25">
      <c r="B1" t="s">
        <v>5</v>
      </c>
      <c r="C1" t="s">
        <v>3</v>
      </c>
      <c r="E1" t="s">
        <v>32</v>
      </c>
    </row>
    <row r="2" spans="2:5" x14ac:dyDescent="0.25">
      <c r="B2" t="s">
        <v>11</v>
      </c>
      <c r="C2" t="s">
        <v>12</v>
      </c>
      <c r="E2" t="s">
        <v>33</v>
      </c>
    </row>
    <row r="3" spans="2:5" x14ac:dyDescent="0.25">
      <c r="B3" t="s">
        <v>13</v>
      </c>
      <c r="C3" t="s">
        <v>14</v>
      </c>
      <c r="E3" t="s">
        <v>34</v>
      </c>
    </row>
    <row r="4" spans="2:5" x14ac:dyDescent="0.25">
      <c r="B4" t="s">
        <v>9</v>
      </c>
      <c r="C4" t="s">
        <v>10</v>
      </c>
      <c r="E4" t="s">
        <v>35</v>
      </c>
    </row>
    <row r="5" spans="2:5" x14ac:dyDescent="0.25">
      <c r="E5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79D4-EAEC-45E5-B24D-FB83A55930E3}">
  <sheetPr codeName="Hoja12"/>
  <dimension ref="B2:C3"/>
  <sheetViews>
    <sheetView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30" bestFit="1" customWidth="1"/>
  </cols>
  <sheetData>
    <row r="2" spans="2:3" x14ac:dyDescent="0.25">
      <c r="B2" t="s">
        <v>52</v>
      </c>
      <c r="C2">
        <f>COUNTA(Compras!B:B)-1</f>
        <v>0</v>
      </c>
    </row>
    <row r="3" spans="2:3" x14ac:dyDescent="0.25">
      <c r="B3" t="s">
        <v>53</v>
      </c>
      <c r="C3">
        <f>COUNTA(Ventas!B:B)-1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3C0D-98D2-4A8D-A428-96A30C16C374}">
  <sheetPr codeName="Hoja2"/>
  <dimension ref="A1:H12"/>
  <sheetViews>
    <sheetView workbookViewId="0"/>
  </sheetViews>
  <sheetFormatPr baseColWidth="10" defaultRowHeight="15" x14ac:dyDescent="0.25"/>
  <cols>
    <col min="4" max="4" width="12.7109375" bestFit="1" customWidth="1"/>
    <col min="5" max="5" width="12.7109375" customWidth="1"/>
  </cols>
  <sheetData>
    <row r="1" spans="1:8" x14ac:dyDescent="0.25">
      <c r="A1" t="s">
        <v>0</v>
      </c>
      <c r="B1" t="s">
        <v>2</v>
      </c>
      <c r="C1" t="s">
        <v>37</v>
      </c>
      <c r="D1" t="s">
        <v>18</v>
      </c>
      <c r="E1" t="s">
        <v>22</v>
      </c>
      <c r="F1" t="s">
        <v>15</v>
      </c>
      <c r="G1" t="s">
        <v>16</v>
      </c>
      <c r="H1" t="s">
        <v>17</v>
      </c>
    </row>
    <row r="2" spans="1:8" x14ac:dyDescent="0.25">
      <c r="H2" s="1"/>
    </row>
    <row r="3" spans="1:8" x14ac:dyDescent="0.25">
      <c r="C3" t="s">
        <v>0</v>
      </c>
      <c r="H3" s="1"/>
    </row>
    <row r="4" spans="1:8" x14ac:dyDescent="0.25">
      <c r="C4" t="s">
        <v>2</v>
      </c>
      <c r="H4" s="1"/>
    </row>
    <row r="5" spans="1:8" x14ac:dyDescent="0.25">
      <c r="C5" t="s">
        <v>37</v>
      </c>
      <c r="H5" s="1"/>
    </row>
    <row r="6" spans="1:8" x14ac:dyDescent="0.25">
      <c r="C6" t="s">
        <v>18</v>
      </c>
      <c r="H6" s="1"/>
    </row>
    <row r="7" spans="1:8" x14ac:dyDescent="0.25">
      <c r="C7" t="s">
        <v>22</v>
      </c>
      <c r="H7" s="1"/>
    </row>
    <row r="8" spans="1:8" x14ac:dyDescent="0.25">
      <c r="C8" t="s">
        <v>15</v>
      </c>
    </row>
    <row r="9" spans="1:8" x14ac:dyDescent="0.25">
      <c r="C9" t="s">
        <v>16</v>
      </c>
    </row>
    <row r="10" spans="1:8" x14ac:dyDescent="0.25">
      <c r="C10" t="s">
        <v>17</v>
      </c>
    </row>
    <row r="11" spans="1:8" x14ac:dyDescent="0.25">
      <c r="C11" t="s">
        <v>19</v>
      </c>
    </row>
    <row r="12" spans="1:8" x14ac:dyDescent="0.25">
      <c r="C1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578-CD1C-40C1-84F5-2156FE2793D9}">
  <sheetPr codeName="Hoja3"/>
  <dimension ref="A1:C1"/>
  <sheetViews>
    <sheetView workbookViewId="0">
      <selection activeCell="C2" sqref="C2"/>
    </sheetView>
  </sheetViews>
  <sheetFormatPr baseColWidth="10" defaultRowHeight="15" x14ac:dyDescent="0.25"/>
  <cols>
    <col min="3" max="3" width="16.5703125" bestFit="1" customWidth="1"/>
  </cols>
  <sheetData>
    <row r="1" spans="1:3" x14ac:dyDescent="0.25">
      <c r="A1" t="s">
        <v>0</v>
      </c>
      <c r="B1" t="s">
        <v>4</v>
      </c>
      <c r="C1" t="s">
        <v>27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2EB88-7724-4F05-85BE-75AD2024ECCC}">
  <sheetPr codeName="Hoja4"/>
  <dimension ref="A1:K1"/>
  <sheetViews>
    <sheetView tabSelected="1" workbookViewId="0">
      <selection activeCell="B1" sqref="B1"/>
    </sheetView>
  </sheetViews>
  <sheetFormatPr baseColWidth="10" defaultRowHeight="15" x14ac:dyDescent="0.25"/>
  <cols>
    <col min="6" max="6" width="13.85546875" bestFit="1" customWidth="1"/>
    <col min="8" max="8" width="16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7</v>
      </c>
      <c r="F1" t="s">
        <v>8</v>
      </c>
      <c r="G1" t="s">
        <v>5</v>
      </c>
      <c r="H1" t="s">
        <v>23</v>
      </c>
      <c r="I1" t="s">
        <v>24</v>
      </c>
      <c r="J1" t="s">
        <v>25</v>
      </c>
      <c r="K1" t="s">
        <v>26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C5A28-85DC-4C30-BCE0-2C42E3B53488}">
  <sheetPr codeName="Hoja5"/>
  <dimension ref="A1:H1"/>
  <sheetViews>
    <sheetView workbookViewId="0">
      <selection activeCell="B2" sqref="B2"/>
    </sheetView>
  </sheetViews>
  <sheetFormatPr baseColWidth="10" defaultRowHeight="15" x14ac:dyDescent="0.25"/>
  <sheetData>
    <row r="1" spans="1:8" x14ac:dyDescent="0.25">
      <c r="A1" t="s">
        <v>0</v>
      </c>
      <c r="B1" t="s">
        <v>21</v>
      </c>
      <c r="C1" t="s">
        <v>36</v>
      </c>
      <c r="D1" t="s">
        <v>6</v>
      </c>
      <c r="E1" t="s">
        <v>28</v>
      </c>
      <c r="F1" t="s">
        <v>29</v>
      </c>
      <c r="G1" t="s">
        <v>30</v>
      </c>
      <c r="H1" t="s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0F5D1-8E64-4864-A8BF-F1949ADF592D}">
  <sheetPr codeName="Hoja6"/>
  <dimension ref="A1:I1"/>
  <sheetViews>
    <sheetView workbookViewId="0">
      <selection activeCell="G1" sqref="G1"/>
    </sheetView>
  </sheetViews>
  <sheetFormatPr baseColWidth="10" defaultRowHeight="15" x14ac:dyDescent="0.25"/>
  <sheetData>
    <row r="1" spans="1:9" x14ac:dyDescent="0.25">
      <c r="A1" t="s">
        <v>0</v>
      </c>
      <c r="B1" t="s">
        <v>36</v>
      </c>
      <c r="C1" t="s">
        <v>40</v>
      </c>
      <c r="D1" t="s">
        <v>39</v>
      </c>
      <c r="E1" t="s">
        <v>38</v>
      </c>
      <c r="F1" t="s">
        <v>33</v>
      </c>
      <c r="G1" t="s">
        <v>35</v>
      </c>
      <c r="H1" t="s">
        <v>41</v>
      </c>
      <c r="I1" t="s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E2E14-F954-4B58-BDC5-F2D4C2B24605}">
  <sheetPr codeName="Hoja7"/>
  <dimension ref="A1:H1"/>
  <sheetViews>
    <sheetView workbookViewId="0">
      <selection activeCell="B1" sqref="B1:D1"/>
    </sheetView>
  </sheetViews>
  <sheetFormatPr baseColWidth="10" defaultRowHeight="15" x14ac:dyDescent="0.25"/>
  <cols>
    <col min="2" max="2" width="16.140625" bestFit="1" customWidth="1"/>
    <col min="3" max="3" width="16.5703125" bestFit="1" customWidth="1"/>
    <col min="5" max="5" width="13.7109375" bestFit="1" customWidth="1"/>
    <col min="6" max="6" width="15.42578125" bestFit="1" customWidth="1"/>
    <col min="7" max="7" width="11.140625" bestFit="1" customWidth="1"/>
    <col min="8" max="8" width="12.7109375" bestFit="1" customWidth="1"/>
  </cols>
  <sheetData>
    <row r="1" spans="1:8" x14ac:dyDescent="0.25">
      <c r="A1" t="s">
        <v>0</v>
      </c>
      <c r="B1" t="s">
        <v>42</v>
      </c>
      <c r="C1" t="s">
        <v>43</v>
      </c>
      <c r="D1" t="s">
        <v>44</v>
      </c>
      <c r="E1" t="s">
        <v>45</v>
      </c>
      <c r="F1" t="s">
        <v>47</v>
      </c>
      <c r="G1" t="s">
        <v>48</v>
      </c>
      <c r="H1" t="s">
        <v>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413F5-6155-4EF1-BAA5-26395472498E}">
  <sheetPr codeName="Hoja8"/>
  <dimension ref="A1:J4"/>
  <sheetViews>
    <sheetView workbookViewId="0">
      <selection activeCell="B1" sqref="B1:B4"/>
    </sheetView>
  </sheetViews>
  <sheetFormatPr baseColWidth="10" defaultRowHeight="15" x14ac:dyDescent="0.25"/>
  <cols>
    <col min="2" max="2" width="22.140625" bestFit="1" customWidth="1"/>
    <col min="3" max="3" width="16.140625" bestFit="1" customWidth="1"/>
    <col min="4" max="4" width="16.5703125" bestFit="1" customWidth="1"/>
    <col min="5" max="5" width="10.5703125" bestFit="1" customWidth="1"/>
  </cols>
  <sheetData>
    <row r="1" spans="1:10" x14ac:dyDescent="0.25">
      <c r="A1" t="s">
        <v>0</v>
      </c>
      <c r="B1" t="s">
        <v>61</v>
      </c>
      <c r="C1" t="s">
        <v>42</v>
      </c>
      <c r="D1" t="s">
        <v>43</v>
      </c>
      <c r="E1" t="s">
        <v>44</v>
      </c>
      <c r="F1" t="s">
        <v>18</v>
      </c>
      <c r="G1" t="s">
        <v>22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t="str">
        <f>_xlfn.CONCAT(E2," ",C2," ",D2)</f>
        <v>Antonio Medina Rosas</v>
      </c>
      <c r="C2" t="s">
        <v>55</v>
      </c>
      <c r="D2" t="s">
        <v>56</v>
      </c>
      <c r="E2" t="s">
        <v>50</v>
      </c>
    </row>
    <row r="3" spans="1:10" x14ac:dyDescent="0.25">
      <c r="A3">
        <v>2</v>
      </c>
      <c r="B3" t="str">
        <f t="shared" ref="B3:B4" si="0">_xlfn.CONCAT(E3," ",C3," ",D3)</f>
        <v>David Cortes Hernandez</v>
      </c>
      <c r="C3" t="s">
        <v>57</v>
      </c>
      <c r="D3" t="s">
        <v>58</v>
      </c>
      <c r="E3" t="s">
        <v>59</v>
      </c>
    </row>
    <row r="4" spans="1:10" x14ac:dyDescent="0.25">
      <c r="A4">
        <v>3</v>
      </c>
      <c r="B4" t="str">
        <f t="shared" si="0"/>
        <v>Tanya Montes Vallin</v>
      </c>
      <c r="C4" t="s">
        <v>54</v>
      </c>
      <c r="D4" t="s">
        <v>60</v>
      </c>
      <c r="E4" t="s">
        <v>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B470E-E716-48E3-B8F9-4CC82F820401}">
  <sheetPr codeName="Hoja9"/>
  <dimension ref="A1:G1"/>
  <sheetViews>
    <sheetView workbookViewId="0">
      <selection activeCell="G19" sqref="G19"/>
    </sheetView>
  </sheetViews>
  <sheetFormatPr baseColWidth="10" defaultRowHeight="15" x14ac:dyDescent="0.25"/>
  <sheetData>
    <row r="1" spans="1:7" x14ac:dyDescent="0.25">
      <c r="A1" t="s">
        <v>0</v>
      </c>
      <c r="B1" t="s">
        <v>21</v>
      </c>
      <c r="C1" t="s">
        <v>36</v>
      </c>
      <c r="D1" t="s">
        <v>49</v>
      </c>
      <c r="E1" t="s">
        <v>28</v>
      </c>
      <c r="F1" t="s">
        <v>31</v>
      </c>
      <c r="G1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36C73-DDF5-4076-BD2C-E7BE97FA2948}">
  <sheetPr codeName="Hoja10"/>
  <dimension ref="A1:E1"/>
  <sheetViews>
    <sheetView workbookViewId="0">
      <selection activeCell="A2" sqref="A2"/>
    </sheetView>
  </sheetViews>
  <sheetFormatPr baseColWidth="10" defaultRowHeight="15" x14ac:dyDescent="0.25"/>
  <sheetData>
    <row r="1" spans="1:5" x14ac:dyDescent="0.25">
      <c r="A1" t="s">
        <v>0</v>
      </c>
      <c r="B1" t="s">
        <v>36</v>
      </c>
      <c r="C1" t="s">
        <v>40</v>
      </c>
      <c r="D1" t="s">
        <v>39</v>
      </c>
      <c r="E1" t="s">
        <v>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805-AC3F-4175-812B-EF1CE7A111A9}">
  <sheetPr codeName="Hoja11"/>
  <dimension ref="A1:G1"/>
  <sheetViews>
    <sheetView workbookViewId="0">
      <selection sqref="A1:G1"/>
    </sheetView>
  </sheetViews>
  <sheetFormatPr baseColWidth="10" defaultRowHeight="15" x14ac:dyDescent="0.25"/>
  <sheetData>
    <row r="1" spans="1:7" x14ac:dyDescent="0.25">
      <c r="A1" t="s">
        <v>21</v>
      </c>
      <c r="B1" t="s">
        <v>36</v>
      </c>
      <c r="C1" t="s">
        <v>6</v>
      </c>
      <c r="D1" t="s">
        <v>28</v>
      </c>
      <c r="E1" t="s">
        <v>29</v>
      </c>
      <c r="F1" t="s">
        <v>30</v>
      </c>
      <c r="G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Varios</vt:lpstr>
      <vt:lpstr>Temporales</vt:lpstr>
      <vt:lpstr>Proveedores</vt:lpstr>
      <vt:lpstr>Marcas</vt:lpstr>
      <vt:lpstr>Productos</vt:lpstr>
      <vt:lpstr>Ordenes_Compra</vt:lpstr>
      <vt:lpstr>Compras</vt:lpstr>
      <vt:lpstr>Usuarios</vt:lpstr>
      <vt:lpstr>Clientes</vt:lpstr>
      <vt:lpstr>Orden_Venta</vt:lpstr>
      <vt:lpstr>Ventas</vt:lpstr>
      <vt:lpstr>D_Compras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TANYA VICTORIA MONTES - VALLIN</dc:creator>
  <cp:lastModifiedBy>TANYA VICTORIA MONTES - VALLIN</cp:lastModifiedBy>
  <dcterms:created xsi:type="dcterms:W3CDTF">2025-06-29T20:18:48Z</dcterms:created>
  <dcterms:modified xsi:type="dcterms:W3CDTF">2025-06-30T03:17:52Z</dcterms:modified>
</cp:coreProperties>
</file>